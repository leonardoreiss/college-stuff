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carregar_excel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Diversos\FATEC_SCS\EAD\ADS_2021_2S\"/>
    </mc:Choice>
  </mc:AlternateContent>
  <xr:revisionPtr revIDLastSave="0" documentId="13_ncr:1_{94A1BD93-973E-443C-852D-9F3CB8E2ED32}" xr6:coauthVersionLast="47" xr6:coauthVersionMax="47" xr10:uidLastSave="{00000000-0000-0000-0000-000000000000}"/>
  <bookViews>
    <workbookView xWindow="-120" yWindow="-120" windowWidth="20730" windowHeight="11760" tabRatio="1000" activeTab="1" xr2:uid="{00000000-000D-0000-FFFF-FFFF00000000}"/>
  </bookViews>
  <sheets>
    <sheet name="HOME" sheetId="1" r:id="rId1"/>
    <sheet name="CONTAS LOGIN" sheetId="14" r:id="rId2"/>
    <sheet name="VENDAS" sheetId="2" state="veryHidden" r:id="rId3"/>
    <sheet name="APURAÇÃO SUBTOTAIS" sheetId="3" state="veryHidden" r:id="rId4"/>
    <sheet name="CONSOLIDAÇÃO VALORES" sheetId="8" state="veryHidden" r:id="rId5"/>
    <sheet name="TABELA DINÂMICA" sheetId="12" state="veryHidden" r:id="rId6"/>
    <sheet name="FINANÇAS" sheetId="13" state="veryHidden" r:id="rId7"/>
    <sheet name="DADOS GRÁFICO" sheetId="7" state="veryHidden" r:id="rId8"/>
    <sheet name="PEDIDOS" sheetId="6" state="veryHidden" r:id="rId9"/>
  </sheets>
  <functionGroups builtInGroupCount="19"/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2" l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0" i="2"/>
  <c r="I10" i="2" s="1"/>
  <c r="H20" i="2" s="1"/>
  <c r="H23" i="2" s="1"/>
  <c r="H24" i="2" s="1"/>
  <c r="F11" i="2"/>
  <c r="F12" i="2"/>
  <c r="F13" i="2"/>
  <c r="F14" i="2"/>
  <c r="F15" i="2"/>
  <c r="F16" i="2"/>
  <c r="F17" i="2"/>
  <c r="F18" i="2"/>
  <c r="F10" i="2"/>
  <c r="R16" i="2" s="1"/>
  <c r="C11" i="2"/>
  <c r="C12" i="2"/>
  <c r="C13" i="2"/>
  <c r="C14" i="2"/>
  <c r="C15" i="2"/>
  <c r="C16" i="2"/>
  <c r="C17" i="2"/>
  <c r="C18" i="2"/>
  <c r="C10" i="2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H19" i="2"/>
  <c r="P16" i="2" l="1"/>
  <c r="P13" i="2"/>
  <c r="P17" i="2"/>
  <c r="P12" i="2"/>
  <c r="P14" i="2"/>
  <c r="P18" i="2"/>
  <c r="P15" i="2"/>
  <c r="P11" i="2"/>
  <c r="P10" i="2"/>
  <c r="C143" i="3"/>
</calcChain>
</file>

<file path=xl/sharedStrings.xml><?xml version="1.0" encoding="utf-8"?>
<sst xmlns="http://schemas.openxmlformats.org/spreadsheetml/2006/main" count="483" uniqueCount="185">
  <si>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</si>
  <si>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</si>
  <si>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</si>
  <si>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</si>
  <si>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</si>
  <si>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</si>
  <si>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</si>
  <si>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</si>
  <si>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</si>
  <si>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</si>
  <si>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</si>
  <si>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</si>
  <si>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</si>
  <si>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</si>
  <si>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</si>
  <si>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</si>
  <si>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</si>
  <si>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</si>
  <si>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</si>
  <si>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</si>
  <si>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</si>
  <si>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</si>
  <si>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</si>
  <si>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</si>
  <si>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</si>
  <si>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</si>
  <si>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</si>
  <si>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</si>
  <si>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</si>
  <si>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</si>
  <si>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</si>
  <si>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</si>
  <si>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</si>
  <si>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</si>
  <si>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</si>
  <si>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</si>
  <si>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</si>
  <si>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</si>
  <si>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</si>
  <si>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</si>
  <si>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</si>
  <si>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</si>
  <si>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</si>
  <si>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</si>
  <si>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</si>
  <si>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</si>
  <si>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</si>
  <si>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</si>
  <si>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</si>
  <si>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</si>
  <si>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</si>
  <si>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</si>
  <si>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</si>
  <si>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</si>
  <si>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</si>
  <si>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</si>
  <si>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</si>
  <si>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</si>
  <si>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</si>
  <si>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</si>
  <si>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</si>
  <si>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</si>
  <si>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</si>
  <si>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</si>
  <si>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</si>
  <si>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</si>
  <si>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</si>
  <si>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</si>
  <si>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</si>
  <si>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</si>
  <si>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</si>
  <si>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</si>
  <si>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</si>
  <si>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</si>
  <si>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</si>
  <si>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</si>
  <si>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</si>
  <si>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</si>
  <si>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</si>
  <si>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</si>
  <si>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</si>
  <si>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</si>
  <si>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</si>
  <si>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</si>
  <si>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</si>
  <si>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</si>
  <si>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</si>
  <si>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</si>
  <si>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</si>
  <si>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</si>
  <si>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</si>
  <si>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</si>
  <si>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</si>
  <si>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</si>
  <si>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</si>
  <si>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</si>
  <si>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</si>
  <si>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</si>
  <si>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</si>
  <si>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</si>
  <si>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</si>
  <si>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</si>
  <si>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</si>
  <si>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</si>
  <si>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</si>
  <si>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</si>
  <si>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</si>
  <si>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</si>
  <si>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</si>
  <si>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</si>
  <si>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</si>
  <si>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</si>
  <si>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</si>
  <si>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</si>
  <si>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</si>
  <si>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</si>
  <si>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</si>
  <si>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</si>
  <si>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</si>
  <si>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</si>
  <si>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</si>
  <si>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</si>
  <si>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</si>
  <si>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</si>
  <si>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</si>
  <si>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</si>
  <si>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</si>
  <si>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</si>
  <si>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</si>
  <si>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</si>
  <si>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</si>
  <si>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</si>
  <si>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</si>
  <si>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</si>
  <si>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</si>
  <si>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</si>
  <si>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</si>
  <si>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</si>
  <si>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</si>
  <si>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</si>
  <si>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</si>
  <si>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</si>
  <si>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</si>
  <si>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</si>
  <si>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</si>
  <si>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</si>
  <si>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</si>
  <si>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</si>
  <si>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</si>
  <si>
    <t>111.111.111-11</t>
  </si>
  <si>
    <t>MOQUIDÉSIA DA SILVA</t>
  </si>
  <si>
    <t>ELETRÔNICOS</t>
  </si>
  <si>
    <t>222.222.222-22</t>
  </si>
  <si>
    <t>MONITOR LCD 19'' AOC</t>
  </si>
  <si>
    <t>R$ 550,00</t>
  </si>
  <si>
    <t>25.678.908-9</t>
  </si>
  <si>
    <t>NEXTEL I897 FERRARI</t>
  </si>
  <si>
    <t>TELEFONIA</t>
  </si>
  <si>
    <t>1</t>
  </si>
  <si>
    <t>R$ 899,00</t>
  </si>
  <si>
    <t>LINDOLFO AGUIAR</t>
  </si>
  <si>
    <t>INFORMÁTICA</t>
  </si>
  <si>
    <t>333.333.333-33</t>
  </si>
  <si>
    <t>LINDINALVA DOS SANTOS</t>
  </si>
  <si>
    <t>43.222.443.221-1</t>
  </si>
  <si>
    <t>ANTENA DE TV DHTV - BENQ</t>
  </si>
  <si>
    <t>R$ 190,00</t>
  </si>
  <si>
    <t>23.456.789-0</t>
  </si>
  <si>
    <t>CADASTRO DE CONTAS</t>
  </si>
  <si>
    <t>ID CONTA</t>
  </si>
  <si>
    <t>NOME USUÁRIO</t>
  </si>
  <si>
    <t>E-MAIL</t>
  </si>
  <si>
    <t>SENHA</t>
  </si>
  <si>
    <t>TIPO CONTA</t>
  </si>
  <si>
    <t>STATUS CONTA</t>
  </si>
  <si>
    <t>333</t>
  </si>
  <si>
    <t>AAAA</t>
  </si>
  <si>
    <t>111</t>
  </si>
  <si>
    <t>MOQUIDESIA</t>
  </si>
  <si>
    <t>MOQUIDESIA@FATEC</t>
  </si>
  <si>
    <t>USUÁRIO</t>
  </si>
  <si>
    <t>LINDOLFO</t>
  </si>
  <si>
    <t>LINDOLFO@GMAIL.COM</t>
  </si>
  <si>
    <t>BLOQUEADA</t>
  </si>
  <si>
    <t>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</si>
</sst>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  <numFmt numFmtId="172" formatCode="\-\-\-\-\-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6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32"/>
      <color theme="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28" fillId="0" borderId="0" applyNumberFormat="0" applyFill="0" applyBorder="0" applyAlignment="0" applyProtection="0"/>
  </cellStyleXfs>
  <cellXfs count="209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19" xfId="0" pivotButton="1" applyBorder="1"/>
    <xf numFmtId="165" fontId="0" fillId="0" borderId="19" xfId="0" applyNumberFormat="1" applyBorder="1"/>
    <xf numFmtId="0" fontId="0" fillId="0" borderId="0" xfId="0" applyAlignment="1">
      <alignment horizontal="center"/>
    </xf>
    <xf numFmtId="0" fontId="14" fillId="0" borderId="19" xfId="3" applyFont="1" applyFill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20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9" fillId="0" borderId="0" xfId="0" applyFont="1" applyFill="1" applyAlignment="1">
      <alignment vertical="center"/>
    </xf>
    <xf numFmtId="0" fontId="30" fillId="0" borderId="44" xfId="0" applyFont="1" applyBorder="1" applyAlignment="1">
      <alignment horizontal="center"/>
    </xf>
    <xf numFmtId="0" fontId="30" fillId="0" borderId="44" xfId="0" applyFont="1" applyBorder="1" applyAlignment="1">
      <alignment horizontal="left"/>
    </xf>
    <xf numFmtId="0" fontId="30" fillId="0" borderId="45" xfId="0" applyFont="1" applyBorder="1" applyAlignment="1">
      <alignment horizontal="center"/>
    </xf>
    <xf numFmtId="0" fontId="30" fillId="0" borderId="45" xfId="0" applyFont="1" applyBorder="1" applyAlignment="1">
      <alignment horizontal="left"/>
    </xf>
    <xf numFmtId="0" fontId="30" fillId="0" borderId="43" xfId="0" applyFont="1" applyBorder="1" applyAlignment="1">
      <alignment horizontal="center"/>
    </xf>
    <xf numFmtId="0" fontId="30" fillId="0" borderId="43" xfId="0" applyFont="1" applyBorder="1" applyAlignment="1">
      <alignment horizontal="left"/>
    </xf>
    <xf numFmtId="0" fontId="0" fillId="4" borderId="0" xfId="0" applyFill="1"/>
    <xf numFmtId="0" fontId="22" fillId="4" borderId="3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  <xf numFmtId="0" fontId="30" fillId="0" borderId="44" xfId="0" applyNumberFormat="1" applyFont="1" applyBorder="1" applyAlignment="1">
      <alignment horizontal="center"/>
    </xf>
    <xf numFmtId="0" fontId="30" fillId="0" borderId="45" xfId="0" applyNumberFormat="1" applyFont="1" applyBorder="1" applyAlignment="1">
      <alignment horizontal="center"/>
    </xf>
    <xf numFmtId="0" fontId="32" fillId="0" borderId="44" xfId="0" applyFont="1" applyBorder="1" applyAlignment="1">
      <alignment horizontal="center"/>
    </xf>
    <xf numFmtId="0" fontId="32" fillId="0" borderId="45" xfId="0" applyFont="1" applyBorder="1" applyAlignment="1">
      <alignment horizontal="center"/>
    </xf>
    <xf numFmtId="172" fontId="30" fillId="0" borderId="43" xfId="0" applyNumberFormat="1" applyFont="1" applyBorder="1" applyAlignment="1">
      <alignment horizontal="center"/>
    </xf>
    <xf numFmtId="172" fontId="30" fillId="0" borderId="44" xfId="0" applyNumberFormat="1" applyFont="1" applyBorder="1" applyAlignment="1">
      <alignment horizontal="center"/>
    </xf>
    <xf numFmtId="172" fontId="30" fillId="0" borderId="45" xfId="0" applyNumberFormat="1" applyFont="1" applyBorder="1" applyAlignment="1">
      <alignment horizontal="center"/>
    </xf>
    <xf numFmtId="0" fontId="30" fillId="0" borderId="43" xfId="4" applyNumberFormat="1" applyFont="1" applyBorder="1" applyAlignment="1">
      <alignment horizontal="center"/>
    </xf>
    <xf numFmtId="0" fontId="30" fillId="0" borderId="44" xfId="4" applyNumberFormat="1" applyFont="1" applyBorder="1" applyAlignment="1">
      <alignment horizontal="center"/>
    </xf>
    <xf numFmtId="172" fontId="34" fillId="0" borderId="44" xfId="0" applyNumberFormat="1" applyFont="1" applyBorder="1" applyAlignment="1">
      <alignment horizontal="center"/>
    </xf>
    <xf numFmtId="0" fontId="33" fillId="0" borderId="43" xfId="0" applyFont="1" applyBorder="1" applyAlignment="1">
      <alignment horizontal="center"/>
    </xf>
    <xf numFmtId="0" fontId="31" fillId="4" borderId="50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6" xfId="0" applyFont="1" applyFill="1" applyBorder="1" applyAlignment="1">
      <alignment horizontal="center" vertical="center"/>
    </xf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center"/>
    </xf>
  </cellXfs>
  <cellStyles count="5">
    <cellStyle name="Hiperlink" xfId="4" builtinId="8"/>
    <cellStyle name="Moeda" xfId="2" builtinId="4"/>
    <cellStyle name="Normal" xfId="0" builtinId="0"/>
    <cellStyle name="Normal_Dados Nota Fiscal" xfId="3" xr:uid="{00000000-0005-0000-0000-000003000000}"/>
    <cellStyle name="Vírgula" xfId="1" builtinId="3"/>
  </cellStyles>
  <dxfs count="10">
    <dxf>
      <numFmt numFmtId="165" formatCode="_(&quot;R$&quot;* #,##0.00_);_(&quot;R$&quot;* \(#,##0.00\);_(&quot;R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2C4630"/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>
                <a:solidFill>
                  <a:srgbClr val="FF0000"/>
                </a:solidFill>
              </a:rPr>
              <a:t>DEMONSTRATIVO</a:t>
            </a:r>
            <a:r>
              <a:rPr lang="pt-BR" sz="2000" b="1" baseline="0">
                <a:solidFill>
                  <a:srgbClr val="FF0000"/>
                </a:solidFill>
              </a:rPr>
              <a:t> DE VENDAS ANUAIS 2009 / 2010</a:t>
            </a:r>
            <a:endParaRPr lang="pt-BR" sz="2000" b="1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25-4B7D-A347-EA4B8718AE20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25-4B7D-A347-EA4B8718AE20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25-4B7D-A347-EA4B8718A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1377677200"/>
        <c:axId val="1377678032"/>
      </c:lineChart>
      <c:catAx>
        <c:axId val="1377677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rgbClr val="FF0000"/>
                    </a:solidFill>
                  </a:rPr>
                  <a:t>INFOTECH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7678032"/>
        <c:crosses val="autoZero"/>
        <c:auto val="1"/>
        <c:lblAlgn val="ctr"/>
        <c:lblOffset val="100"/>
        <c:noMultiLvlLbl val="0"/>
      </c:catAx>
      <c:valAx>
        <c:axId val="13776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 b="1">
                    <a:solidFill>
                      <a:srgbClr val="FF0000"/>
                    </a:solidFill>
                  </a:rPr>
                  <a:t>PROJEÇÃO</a:t>
                </a:r>
                <a:r>
                  <a:rPr lang="pt-BR" sz="1600" b="1" baseline="0">
                    <a:solidFill>
                      <a:srgbClr val="FF0000"/>
                    </a:solidFill>
                  </a:rPr>
                  <a:t> DE VALORES</a:t>
                </a:r>
                <a:endParaRPr lang="pt-BR" sz="1600" b="1">
                  <a:solidFill>
                    <a:srgbClr val="FF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3160733593798414E-2"/>
              <c:y val="0.32542003572396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767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ico1"/>
  <sheetViews>
    <sheetView zoomScale="7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2" fmlaLink="$A$1" fmlaRange="$L$21:$M$2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planilha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66675</xdr:rowOff>
    </xdr:from>
    <xdr:to>
      <xdr:col>3</xdr:col>
      <xdr:colOff>390525</xdr:colOff>
      <xdr:row>6</xdr:row>
      <xdr:rowOff>19050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66675"/>
          <a:ext cx="3105150" cy="9906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9300" cy="60071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mberto" refreshedDate="44406.741887847224" createdVersion="7" refreshedVersion="7" minRefreshableVersion="3" recordCount="14" xr:uid="{00000000-000A-0000-FFFF-FFFF00000000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-2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0" type="button" dataOnly="0" labelOnly="1" outline="0" axis="axisRow" fieldPosition="0"/>
    </format>
    <format dxfId="3">
      <pivotArea dataOnly="0" labelOnly="1" outline="0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topLeftCell="A4" zoomScaleNormal="100" workbookViewId="0">
      <selection activeCell="D28" sqref="D28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I22"/>
  <sheetViews>
    <sheetView showGridLines="0" tabSelected="1" workbookViewId="0"/>
  </sheetViews>
  <sheetFormatPr defaultRowHeight="15" x14ac:dyDescent="0.25"/>
  <cols>
    <col min="1" max="1" width="3.85546875" customWidth="1"/>
    <col min="2" max="2" width="10.28515625" customWidth="1"/>
    <col min="3" max="3" width="29.85546875" customWidth="1"/>
    <col min="4" max="4" width="36.28515625" customWidth="1"/>
    <col min="5" max="5" width="17.85546875" customWidth="1"/>
    <col min="6" max="6" width="17.5703125" customWidth="1"/>
    <col min="7" max="7" width="16.42578125" customWidth="1"/>
    <col min="8" max="8" width="13.140625" customWidth="1"/>
    <col min="9" max="9" width="16" customWidth="1"/>
  </cols>
  <sheetData>
    <row r="1" spans="2:9" ht="6.75" customHeight="1" x14ac:dyDescent="0.25"/>
    <row r="2" spans="2:9" ht="15" customHeight="1" x14ac:dyDescent="0.25">
      <c r="B2" s="118"/>
      <c r="C2" s="118"/>
      <c r="D2" s="132" t="s">
        <v>168</v>
      </c>
      <c r="E2" s="132"/>
      <c r="F2" s="132"/>
      <c r="G2" s="132"/>
      <c r="H2" s="111"/>
      <c r="I2" s="111"/>
    </row>
    <row r="3" spans="2:9" ht="15" customHeight="1" x14ac:dyDescent="0.25">
      <c r="B3" s="118"/>
      <c r="C3" s="118"/>
      <c r="D3" s="133"/>
      <c r="E3" s="133"/>
      <c r="F3" s="133"/>
      <c r="G3" s="133"/>
      <c r="H3" s="111"/>
      <c r="I3" s="111"/>
    </row>
    <row r="4" spans="2:9" ht="15" customHeight="1" x14ac:dyDescent="0.25">
      <c r="B4" s="118"/>
      <c r="C4" s="118"/>
      <c r="D4" s="133"/>
      <c r="E4" s="133"/>
      <c r="F4" s="133"/>
      <c r="G4" s="133"/>
      <c r="H4" s="111"/>
      <c r="I4" s="111"/>
    </row>
    <row r="5" spans="2:9" ht="15" customHeight="1" x14ac:dyDescent="0.25">
      <c r="B5" s="118"/>
      <c r="C5" s="118"/>
      <c r="D5" s="133"/>
      <c r="E5" s="133"/>
      <c r="F5" s="133"/>
      <c r="G5" s="133"/>
      <c r="H5" s="111"/>
      <c r="I5" s="111"/>
    </row>
    <row r="6" spans="2:9" ht="15" customHeight="1" x14ac:dyDescent="0.25">
      <c r="B6" s="118"/>
      <c r="C6" s="118"/>
      <c r="D6" s="133"/>
      <c r="E6" s="133"/>
      <c r="F6" s="133"/>
      <c r="G6" s="133"/>
      <c r="H6" s="111"/>
      <c r="I6" s="111"/>
    </row>
    <row r="7" spans="2:9" ht="15.75" thickBot="1" x14ac:dyDescent="0.3">
      <c r="B7" s="118"/>
      <c r="C7" s="118"/>
      <c r="D7" s="134"/>
      <c r="E7" s="134"/>
      <c r="F7" s="134"/>
      <c r="G7" s="134"/>
    </row>
    <row r="8" spans="2:9" ht="15.75" thickBot="1" x14ac:dyDescent="0.3">
      <c r="B8" s="119" t="s">
        <v>169</v>
      </c>
      <c r="C8" s="119" t="s">
        <v>170</v>
      </c>
      <c r="D8" s="120" t="s">
        <v>171</v>
      </c>
      <c r="E8" s="120" t="s">
        <v>172</v>
      </c>
      <c r="F8" s="120" t="s">
        <v>173</v>
      </c>
      <c r="G8" s="120" t="s">
        <v>174</v>
      </c>
      <c r="H8" s="109"/>
      <c r="I8" s="109"/>
    </row>
    <row r="9" spans="2:9" x14ac:dyDescent="0.25">
      <c r="B9" s="116">
        <v>1</v>
      </c>
      <c r="C9" s="117" t="s">
        <v>178</v>
      </c>
      <c r="D9" s="117" t="s">
        <v>179</v>
      </c>
      <c r="E9" s="125">
        <v>123</v>
      </c>
      <c r="F9" s="128" t="s">
        <v>180</v>
      </c>
      <c r="G9" s="131" t="s">
        <v>183</v>
      </c>
      <c r="H9" s="110"/>
      <c r="I9" s="110"/>
    </row>
    <row r="10" spans="2:9" x14ac:dyDescent="0.25">
      <c r="B10" s="112">
        <v>2</v>
      </c>
      <c r="C10" s="113" t="s">
        <v>181</v>
      </c>
      <c r="D10" s="113" t="s">
        <v>182</v>
      </c>
      <c r="E10" s="130">
        <v>123456</v>
      </c>
      <c r="F10" s="129" t="s">
        <v>180</v>
      </c>
      <c r="G10" s="208" t="s">
        <v>184</v>
      </c>
      <c r="H10" s="110"/>
      <c r="I10" s="110"/>
    </row>
    <row r="11" spans="2:9" x14ac:dyDescent="0.25">
      <c r="B11" s="112"/>
      <c r="C11" s="113"/>
      <c r="D11" s="113"/>
      <c r="E11" s="126"/>
      <c r="F11" s="121"/>
      <c r="G11" s="123"/>
    </row>
    <row r="12" spans="2:9" x14ac:dyDescent="0.25">
      <c r="B12" s="112"/>
      <c r="C12" s="113"/>
      <c r="D12" s="113"/>
      <c r="E12" s="126"/>
      <c r="F12" s="121"/>
      <c r="G12" s="123"/>
    </row>
    <row r="13" spans="2:9" x14ac:dyDescent="0.25">
      <c r="B13" s="112"/>
      <c r="C13" s="113"/>
      <c r="D13" s="113"/>
      <c r="E13" s="126"/>
      <c r="F13" s="121"/>
      <c r="G13" s="123"/>
    </row>
    <row r="14" spans="2:9" x14ac:dyDescent="0.25">
      <c r="B14" s="112"/>
      <c r="C14" s="113"/>
      <c r="D14" s="113"/>
      <c r="E14" s="126"/>
      <c r="F14" s="121"/>
      <c r="G14" s="123"/>
    </row>
    <row r="15" spans="2:9" x14ac:dyDescent="0.25">
      <c r="B15" s="112"/>
      <c r="C15" s="113"/>
      <c r="D15" s="113"/>
      <c r="E15" s="126"/>
      <c r="F15" s="121"/>
      <c r="G15" s="123"/>
    </row>
    <row r="16" spans="2:9" x14ac:dyDescent="0.25">
      <c r="B16" s="112"/>
      <c r="C16" s="113"/>
      <c r="D16" s="113"/>
      <c r="E16" s="126"/>
      <c r="F16" s="121"/>
      <c r="G16" s="123"/>
    </row>
    <row r="17" spans="2:7" x14ac:dyDescent="0.25">
      <c r="B17" s="112"/>
      <c r="C17" s="113"/>
      <c r="D17" s="113"/>
      <c r="E17" s="126"/>
      <c r="F17" s="121"/>
      <c r="G17" s="123"/>
    </row>
    <row r="18" spans="2:7" x14ac:dyDescent="0.25">
      <c r="B18" s="112"/>
      <c r="C18" s="113"/>
      <c r="D18" s="113"/>
      <c r="E18" s="126"/>
      <c r="F18" s="121"/>
      <c r="G18" s="123"/>
    </row>
    <row r="19" spans="2:7" x14ac:dyDescent="0.25">
      <c r="B19" s="112"/>
      <c r="C19" s="113"/>
      <c r="D19" s="113"/>
      <c r="E19" s="126"/>
      <c r="F19" s="121"/>
      <c r="G19" s="123"/>
    </row>
    <row r="20" spans="2:7" x14ac:dyDescent="0.25">
      <c r="B20" s="112"/>
      <c r="C20" s="113"/>
      <c r="D20" s="113"/>
      <c r="E20" s="126"/>
      <c r="F20" s="121"/>
      <c r="G20" s="123"/>
    </row>
    <row r="21" spans="2:7" x14ac:dyDescent="0.25">
      <c r="B21" s="112"/>
      <c r="C21" s="113"/>
      <c r="D21" s="113"/>
      <c r="E21" s="126"/>
      <c r="F21" s="121"/>
      <c r="G21" s="123"/>
    </row>
    <row r="22" spans="2:7" ht="15.75" thickBot="1" x14ac:dyDescent="0.3">
      <c r="B22" s="114"/>
      <c r="C22" s="115"/>
      <c r="D22" s="115"/>
      <c r="E22" s="127"/>
      <c r="F22" s="122"/>
      <c r="G22" s="124"/>
    </row>
  </sheetData>
  <mergeCells count="1">
    <mergeCell ref="D2:G7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U24"/>
  <sheetViews>
    <sheetView showGridLines="0" topLeftCell="A2" zoomScaleNormal="100" workbookViewId="0">
      <selection activeCell="H24" sqref="H24:J24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3</v>
      </c>
    </row>
    <row r="2" spans="1:21" ht="19.5" thickBot="1" x14ac:dyDescent="0.3">
      <c r="B2" s="87" t="s">
        <v>3</v>
      </c>
      <c r="C2" s="86"/>
      <c r="D2" s="7"/>
      <c r="E2" s="137"/>
      <c r="F2" s="137"/>
      <c r="G2" s="137"/>
      <c r="H2" s="137"/>
      <c r="I2" s="137"/>
      <c r="J2" s="137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38" t="s">
        <v>2</v>
      </c>
      <c r="C4" s="139"/>
      <c r="D4" s="139"/>
      <c r="E4" s="139"/>
      <c r="F4" s="139"/>
      <c r="G4" s="139"/>
      <c r="H4" s="139"/>
      <c r="I4" s="139"/>
      <c r="J4" s="140"/>
    </row>
    <row r="5" spans="1:21" ht="15.95" customHeight="1" x14ac:dyDescent="0.25">
      <c r="B5" s="74" t="s">
        <v>0</v>
      </c>
      <c r="C5" s="141"/>
      <c r="D5" s="142"/>
      <c r="E5" s="142"/>
      <c r="F5" s="142"/>
      <c r="G5" s="142"/>
      <c r="H5" s="142"/>
      <c r="I5" s="142"/>
      <c r="J5" s="143"/>
    </row>
    <row r="6" spans="1:21" ht="15.95" customHeight="1" thickBot="1" x14ac:dyDescent="0.3">
      <c r="B6" s="75" t="s">
        <v>1</v>
      </c>
      <c r="C6" s="144"/>
      <c r="D6" s="145"/>
      <c r="E6" s="148" t="s">
        <v>91</v>
      </c>
      <c r="F6" s="149"/>
      <c r="G6" s="144"/>
      <c r="H6" s="146"/>
      <c r="I6" s="146"/>
      <c r="J6" s="147"/>
      <c r="U6" s="73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78" t="s">
        <v>8</v>
      </c>
      <c r="C8" s="178"/>
      <c r="D8" s="178"/>
      <c r="E8" s="178"/>
      <c r="F8" s="178"/>
      <c r="G8" s="178"/>
      <c r="H8" s="178"/>
      <c r="I8" s="178"/>
      <c r="J8" s="178"/>
      <c r="L8" s="192" t="s">
        <v>12</v>
      </c>
      <c r="M8" s="193"/>
      <c r="N8" s="193"/>
      <c r="O8" s="193"/>
      <c r="P8" s="193"/>
      <c r="Q8" s="194"/>
    </row>
    <row r="9" spans="1:21" ht="15.95" customHeight="1" thickBot="1" x14ac:dyDescent="0.3">
      <c r="B9" s="82" t="s">
        <v>13</v>
      </c>
      <c r="C9" s="189" t="s">
        <v>14</v>
      </c>
      <c r="D9" s="189"/>
      <c r="E9" s="189"/>
      <c r="F9" s="82" t="s">
        <v>15</v>
      </c>
      <c r="G9" s="82" t="s">
        <v>16</v>
      </c>
      <c r="H9" s="82" t="s">
        <v>17</v>
      </c>
      <c r="I9" s="189" t="s">
        <v>18</v>
      </c>
      <c r="J9" s="189"/>
      <c r="L9" s="195"/>
      <c r="M9" s="196"/>
      <c r="N9" s="196"/>
      <c r="O9" s="196"/>
      <c r="P9" s="196"/>
      <c r="Q9" s="197"/>
    </row>
    <row r="10" spans="1:21" ht="15.95" customHeight="1" x14ac:dyDescent="0.25">
      <c r="B10" s="83">
        <v>2005</v>
      </c>
      <c r="C10" s="136" t="str">
        <f>IF(B10="","Digite o ID Produto",VLOOKUP(B10,PEDIDOS!$B$9:$E$34,2,FALSE))</f>
        <v>Telefone sem fio Motorola</v>
      </c>
      <c r="D10" s="136"/>
      <c r="E10" s="136"/>
      <c r="F10" s="83" t="str">
        <f>IF(B10="","",VLOOKUP(B10,PEDIDOS!$B$9:$E$34,4,FALSE))</f>
        <v>Telefonia</v>
      </c>
      <c r="G10" s="84">
        <v>50</v>
      </c>
      <c r="H10" s="85">
        <f>IF(B10="","",VLOOKUP(B10,PEDIDOS!$B$9:$E$34,3,FALSE))</f>
        <v>125</v>
      </c>
      <c r="I10" s="135">
        <f>IF(OR(G10="",H10=""),"",PRODUCT(G10:H10))</f>
        <v>6250</v>
      </c>
      <c r="J10" s="135"/>
      <c r="L10" s="179" t="s">
        <v>107</v>
      </c>
      <c r="M10" s="180"/>
      <c r="N10" s="180"/>
      <c r="O10" s="181"/>
      <c r="P10" s="185">
        <f>SMALL(H10:H18,2)</f>
        <v>125</v>
      </c>
      <c r="Q10" s="186"/>
    </row>
    <row r="11" spans="1:21" ht="15.95" customHeight="1" x14ac:dyDescent="0.25">
      <c r="B11" s="83">
        <v>2010</v>
      </c>
      <c r="C11" s="136" t="str">
        <f>IF(B11="","Digite o ID Produto",VLOOKUP(B11,PEDIDOS!$B$9:$E$34,2,FALSE))</f>
        <v>Placa de Captura TV Pinnacle</v>
      </c>
      <c r="D11" s="136"/>
      <c r="E11" s="136"/>
      <c r="F11" s="83" t="str">
        <f>IF(B11="","",VLOOKUP(B11,PEDIDOS!$B$9:$E$34,4,FALSE))</f>
        <v>Informática</v>
      </c>
      <c r="G11" s="84">
        <v>20</v>
      </c>
      <c r="H11" s="85">
        <f>IF(B11="","",VLOOKUP(B11,PEDIDOS!$B$9:$E$34,3,FALSE))</f>
        <v>98</v>
      </c>
      <c r="I11" s="135">
        <f t="shared" ref="I11:I18" si="0">IF(OR(G11="",H11=""),"",PRODUCT(G11:H11))</f>
        <v>1960</v>
      </c>
      <c r="J11" s="135"/>
      <c r="L11" s="182" t="s">
        <v>108</v>
      </c>
      <c r="M11" s="183"/>
      <c r="N11" s="183"/>
      <c r="O11" s="184"/>
      <c r="P11" s="187">
        <f>LARGE(H10:H18,4)</f>
        <v>125</v>
      </c>
      <c r="Q11" s="188"/>
    </row>
    <row r="12" spans="1:21" ht="15.95" customHeight="1" x14ac:dyDescent="0.25">
      <c r="B12" s="83">
        <v>2025</v>
      </c>
      <c r="C12" s="136" t="str">
        <f>IF(B12="","Digite o ID Produto",VLOOKUP(B12,PEDIDOS!$B$9:$E$34,2,FALSE))</f>
        <v>DVD Player Automotivo - Buster</v>
      </c>
      <c r="D12" s="136"/>
      <c r="E12" s="136"/>
      <c r="F12" s="83" t="str">
        <f>IF(B12="","",VLOOKUP(B12,PEDIDOS!$B$9:$E$34,4,FALSE))</f>
        <v>Eletrônicos</v>
      </c>
      <c r="G12" s="84">
        <v>10</v>
      </c>
      <c r="H12" s="85">
        <f>IF(B12="","",VLOOKUP(B12,PEDIDOS!$B$9:$E$34,3,FALSE))</f>
        <v>899</v>
      </c>
      <c r="I12" s="135">
        <f t="shared" si="0"/>
        <v>8990</v>
      </c>
      <c r="J12" s="135"/>
      <c r="L12" s="182" t="s">
        <v>19</v>
      </c>
      <c r="M12" s="183"/>
      <c r="N12" s="183"/>
      <c r="O12" s="184"/>
      <c r="P12" s="187">
        <f>AVERAGE(I10:J18)</f>
        <v>5098.6000000000004</v>
      </c>
      <c r="Q12" s="188"/>
    </row>
    <row r="13" spans="1:21" ht="15.95" customHeight="1" x14ac:dyDescent="0.25">
      <c r="B13" s="83">
        <v>2004</v>
      </c>
      <c r="C13" s="136" t="str">
        <f>IF(B13="","Digite o ID Produto",VLOOKUP(B13,PEDIDOS!$B$9:$E$34,2,FALSE))</f>
        <v>Smartphone Nokia N8</v>
      </c>
      <c r="D13" s="136"/>
      <c r="E13" s="136"/>
      <c r="F13" s="83" t="str">
        <f>IF(B13="","",VLOOKUP(B13,PEDIDOS!$B$9:$E$34,4,FALSE))</f>
        <v>Telefonia</v>
      </c>
      <c r="G13" s="84">
        <v>5</v>
      </c>
      <c r="H13" s="85">
        <f>IF(B13="","",VLOOKUP(B13,PEDIDOS!$B$9:$E$34,3,FALSE))</f>
        <v>1499</v>
      </c>
      <c r="I13" s="135">
        <f t="shared" si="0"/>
        <v>7495</v>
      </c>
      <c r="J13" s="135"/>
      <c r="L13" s="182" t="s">
        <v>97</v>
      </c>
      <c r="M13" s="183"/>
      <c r="N13" s="183"/>
      <c r="O13" s="184"/>
      <c r="P13" s="187">
        <f>SUMIF(F10:F18,"Informática",I10:J18)</f>
        <v>2758</v>
      </c>
      <c r="Q13" s="188"/>
    </row>
    <row r="14" spans="1:21" ht="15.95" customHeight="1" x14ac:dyDescent="0.25">
      <c r="B14" s="83">
        <v>2001</v>
      </c>
      <c r="C14" s="136" t="str">
        <f>IF(B14="","Digite o ID Produto",VLOOKUP(B14,PEDIDOS!$B$9:$E$34,2,FALSE))</f>
        <v>Impressora Multi HP</v>
      </c>
      <c r="D14" s="136"/>
      <c r="E14" s="136"/>
      <c r="F14" s="83" t="str">
        <f>IF(B14="","",VLOOKUP(B14,PEDIDOS!$B$9:$E$34,4,FALSE))</f>
        <v>Informática</v>
      </c>
      <c r="G14" s="84">
        <v>2</v>
      </c>
      <c r="H14" s="85">
        <f>IF(B14="","",VLOOKUP(B14,PEDIDOS!$B$9:$E$34,3,FALSE))</f>
        <v>399</v>
      </c>
      <c r="I14" s="135">
        <f t="shared" si="0"/>
        <v>798</v>
      </c>
      <c r="J14" s="135"/>
      <c r="L14" s="182" t="s">
        <v>98</v>
      </c>
      <c r="M14" s="183"/>
      <c r="N14" s="183"/>
      <c r="O14" s="184"/>
      <c r="P14" s="187">
        <f>SUMIF(F10:F18,"Telefonia",I10:J18)</f>
        <v>13745</v>
      </c>
      <c r="Q14" s="188"/>
    </row>
    <row r="15" spans="1:21" ht="15.95" customHeight="1" x14ac:dyDescent="0.25">
      <c r="B15" s="83"/>
      <c r="C15" s="136" t="str">
        <f>IF(B15="","Digite o ID Produto",VLOOKUP(B15,PEDIDOS!$B$9:$E$34,2,FALSE))</f>
        <v>Digite o ID Produto</v>
      </c>
      <c r="D15" s="136"/>
      <c r="E15" s="136"/>
      <c r="F15" s="83" t="str">
        <f>IF(B15="","",VLOOKUP(B15,PEDIDOS!$B$9:$E$34,4,FALSE))</f>
        <v/>
      </c>
      <c r="G15" s="84"/>
      <c r="H15" s="85" t="str">
        <f>IF(B15="","",VLOOKUP(B15,PEDIDOS!$B$9:$E$34,3,FALSE))</f>
        <v/>
      </c>
      <c r="I15" s="135" t="str">
        <f t="shared" si="0"/>
        <v/>
      </c>
      <c r="J15" s="135"/>
      <c r="L15" s="182" t="s">
        <v>99</v>
      </c>
      <c r="M15" s="183"/>
      <c r="N15" s="183"/>
      <c r="O15" s="184"/>
      <c r="P15" s="187">
        <f>SUMIF(F10:F18,"Eletrônicos",I10:J18)</f>
        <v>8990</v>
      </c>
      <c r="Q15" s="188"/>
    </row>
    <row r="16" spans="1:21" ht="15.95" customHeight="1" x14ac:dyDescent="0.25">
      <c r="B16" s="83"/>
      <c r="C16" s="136" t="str">
        <f>IF(B16="","Digite o ID Produto",VLOOKUP(B16,PEDIDOS!$B$9:$E$34,2,FALSE))</f>
        <v>Digite o ID Produto</v>
      </c>
      <c r="D16" s="136"/>
      <c r="E16" s="136"/>
      <c r="F16" s="83" t="str">
        <f>IF(B16="","",VLOOKUP(B16,PEDIDOS!$B$9:$E$34,4,FALSE))</f>
        <v/>
      </c>
      <c r="G16" s="84"/>
      <c r="H16" s="85" t="str">
        <f>IF(B16="","",VLOOKUP(B16,PEDIDOS!$B$9:$E$34,3,FALSE))</f>
        <v/>
      </c>
      <c r="I16" s="135" t="str">
        <f t="shared" si="0"/>
        <v/>
      </c>
      <c r="J16" s="135"/>
      <c r="L16" s="182" t="s">
        <v>9</v>
      </c>
      <c r="M16" s="183"/>
      <c r="N16" s="183"/>
      <c r="O16" s="184"/>
      <c r="P16" s="198">
        <f>SUMIF(F10:F18,"Informática",G10:G18)</f>
        <v>22</v>
      </c>
      <c r="Q16" s="199"/>
      <c r="R16">
        <f>COUNTIF(F10:F18,"Informática")</f>
        <v>2</v>
      </c>
    </row>
    <row r="17" spans="2:17" ht="15.95" customHeight="1" x14ac:dyDescent="0.25">
      <c r="B17" s="83"/>
      <c r="C17" s="136" t="str">
        <f>IF(B17="","Digite o ID Produto",VLOOKUP(B17,PEDIDOS!$B$9:$E$34,2,FALSE))</f>
        <v>Digite o ID Produto</v>
      </c>
      <c r="D17" s="136"/>
      <c r="E17" s="136"/>
      <c r="F17" s="83" t="str">
        <f>IF(B17="","",VLOOKUP(B17,PEDIDOS!$B$9:$E$34,4,FALSE))</f>
        <v/>
      </c>
      <c r="G17" s="84"/>
      <c r="H17" s="85" t="str">
        <f>IF(B17="","",VLOOKUP(B17,PEDIDOS!$B$9:$E$34,3,FALSE))</f>
        <v/>
      </c>
      <c r="I17" s="135" t="str">
        <f t="shared" si="0"/>
        <v/>
      </c>
      <c r="J17" s="135"/>
      <c r="L17" s="182" t="s">
        <v>10</v>
      </c>
      <c r="M17" s="183"/>
      <c r="N17" s="183"/>
      <c r="O17" s="184"/>
      <c r="P17" s="198">
        <f>SUMIF(F10:F18,"Telefonia",G10:G18)</f>
        <v>55</v>
      </c>
      <c r="Q17" s="199"/>
    </row>
    <row r="18" spans="2:17" ht="15.95" customHeight="1" thickBot="1" x14ac:dyDescent="0.3">
      <c r="B18" s="83"/>
      <c r="C18" s="136" t="str">
        <f>IF(B18="","Digite o ID Produto",VLOOKUP(B18,PEDIDOS!$B$9:$E$34,2,FALSE))</f>
        <v>Digite o ID Produto</v>
      </c>
      <c r="D18" s="136"/>
      <c r="E18" s="136"/>
      <c r="F18" s="83" t="str">
        <f>IF(B18="","",VLOOKUP(B18,PEDIDOS!$B$9:$E$34,4,FALSE))</f>
        <v/>
      </c>
      <c r="G18" s="84"/>
      <c r="H18" s="85" t="str">
        <f>IF(B18="","",VLOOKUP(B18,PEDIDOS!$B$9:$E$34,3,FALSE))</f>
        <v/>
      </c>
      <c r="I18" s="135" t="str">
        <f t="shared" si="0"/>
        <v/>
      </c>
      <c r="J18" s="135"/>
      <c r="L18" s="200" t="s">
        <v>11</v>
      </c>
      <c r="M18" s="201"/>
      <c r="N18" s="201"/>
      <c r="O18" s="202"/>
      <c r="P18" s="190">
        <f>SUMIF(F10:F18,"Eletrônicos",G10:G18)</f>
        <v>10</v>
      </c>
      <c r="Q18" s="191"/>
    </row>
    <row r="19" spans="2:17" ht="10.5" customHeight="1" thickBot="1" x14ac:dyDescent="0.3">
      <c r="B19" s="6"/>
      <c r="C19" s="6"/>
      <c r="D19" s="6"/>
      <c r="E19" s="6"/>
      <c r="F19" s="6"/>
      <c r="G19" s="6"/>
      <c r="H19" s="61" t="str">
        <f>IF(F19="","",VLOOKUP(B19,PEDIDOS!$B$9:$E$34,3))</f>
        <v/>
      </c>
      <c r="I19" s="6"/>
      <c r="J19" s="6"/>
    </row>
    <row r="20" spans="2:17" ht="15.95" customHeight="1" thickBot="1" x14ac:dyDescent="0.3">
      <c r="B20" s="157"/>
      <c r="C20" s="158"/>
      <c r="D20" s="158"/>
      <c r="E20" s="8"/>
      <c r="F20" s="76" t="s">
        <v>5</v>
      </c>
      <c r="G20" s="77"/>
      <c r="H20" s="163">
        <f>SUM(I10:J18)</f>
        <v>25493</v>
      </c>
      <c r="I20" s="164"/>
      <c r="J20" s="165"/>
      <c r="L20" s="168" t="s">
        <v>92</v>
      </c>
      <c r="M20" s="169"/>
      <c r="N20" s="169"/>
      <c r="O20" s="170"/>
    </row>
    <row r="21" spans="2:17" ht="15.95" customHeight="1" x14ac:dyDescent="0.25">
      <c r="B21" s="159"/>
      <c r="C21" s="160"/>
      <c r="D21" s="160"/>
      <c r="E21" s="9"/>
      <c r="F21" s="78" t="s">
        <v>4</v>
      </c>
      <c r="G21" s="79"/>
      <c r="H21" s="175"/>
      <c r="I21" s="176"/>
      <c r="J21" s="177"/>
      <c r="L21" s="56" t="s">
        <v>93</v>
      </c>
      <c r="M21" s="57"/>
      <c r="N21" s="173" t="s">
        <v>109</v>
      </c>
      <c r="O21" s="174"/>
    </row>
    <row r="22" spans="2:17" ht="15.95" customHeight="1" x14ac:dyDescent="0.25">
      <c r="B22" s="159"/>
      <c r="C22" s="160"/>
      <c r="D22" s="160"/>
      <c r="E22" s="9"/>
      <c r="F22" s="78" t="s">
        <v>6</v>
      </c>
      <c r="G22" s="79"/>
      <c r="H22" s="150" t="str">
        <f>IF(A1=1,H20*20%,IF(A1=4,H20*5%,"Sem Desconto"))</f>
        <v>Sem Desconto</v>
      </c>
      <c r="I22" s="135"/>
      <c r="J22" s="151"/>
      <c r="L22" s="58" t="s">
        <v>94</v>
      </c>
      <c r="M22" s="59"/>
      <c r="N22" s="152" t="s">
        <v>112</v>
      </c>
      <c r="O22" s="153"/>
    </row>
    <row r="23" spans="2:17" ht="15.95" customHeight="1" x14ac:dyDescent="0.25">
      <c r="B23" s="159"/>
      <c r="C23" s="160"/>
      <c r="D23" s="160"/>
      <c r="E23" s="9"/>
      <c r="F23" s="78" t="s">
        <v>111</v>
      </c>
      <c r="G23" s="79"/>
      <c r="H23" s="150">
        <f>IF(A1=3,(H20*109.69%)/3,"Sem Parcelamento")</f>
        <v>9321.0905666666677</v>
      </c>
      <c r="I23" s="135"/>
      <c r="J23" s="151"/>
      <c r="L23" s="58" t="s">
        <v>110</v>
      </c>
      <c r="M23" s="59"/>
      <c r="N23" s="152" t="s">
        <v>113</v>
      </c>
      <c r="O23" s="153"/>
    </row>
    <row r="24" spans="2:17" ht="15.95" customHeight="1" thickBot="1" x14ac:dyDescent="0.3">
      <c r="B24" s="161"/>
      <c r="C24" s="162"/>
      <c r="D24" s="162"/>
      <c r="E24" s="10"/>
      <c r="F24" s="80" t="s">
        <v>7</v>
      </c>
      <c r="G24" s="81"/>
      <c r="H24" s="154">
        <f>IF(OR(A1=1,A1=4),H20-H22,IF(A1=2,H20*104.75%,H23*3))</f>
        <v>27963.271700000005</v>
      </c>
      <c r="I24" s="155"/>
      <c r="J24" s="156"/>
      <c r="L24" s="166" t="s">
        <v>95</v>
      </c>
      <c r="M24" s="167"/>
      <c r="N24" s="171" t="s">
        <v>96</v>
      </c>
      <c r="O24" s="172"/>
    </row>
  </sheetData>
  <mergeCells count="58"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E2:J2"/>
    <mergeCell ref="B4:J4"/>
    <mergeCell ref="C5:J5"/>
    <mergeCell ref="C6:D6"/>
    <mergeCell ref="G6:J6"/>
    <mergeCell ref="E6:F6"/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</mergeCells>
  <dataValidations count="2">
    <dataValidation allowBlank="1" showErrorMessage="1" promptTitle="ATENÇÃO !!!" prompt="ID PRODUTO ENTRE 2000 E 2025." sqref="C10:J18" xr:uid="{00000000-0002-0000-0200-000000000000}"/>
    <dataValidation type="whole" allowBlank="1" showInputMessage="1" showErrorMessage="1" errorTitle="ATENÇÃO" error="ID DO PRODUTO INVÁLIDO!" promptTitle="ATENÇÃO" prompt="DIGITE O ID DO PRODUTO ENTRE 2000 E 2025" sqref="B10:B18" xr:uid="{00000000-0002-0000-0200-000001000000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Drop Down 3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1:J143"/>
  <sheetViews>
    <sheetView showGridLines="0" workbookViewId="0">
      <selection activeCell="D39" sqref="D39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104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203" t="s">
        <v>105</v>
      </c>
      <c r="C8" s="204"/>
      <c r="D8" s="205"/>
    </row>
    <row r="9" spans="2:10" ht="9" customHeight="1" thickBot="1" x14ac:dyDescent="0.3">
      <c r="C9" s="14"/>
    </row>
    <row r="10" spans="2:10" ht="15.75" thickBot="1" x14ac:dyDescent="0.3">
      <c r="B10" s="68" t="s">
        <v>20</v>
      </c>
      <c r="C10" s="69" t="s">
        <v>21</v>
      </c>
      <c r="D10" s="68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97" t="s">
        <v>127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98" t="s">
        <v>128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99" t="s">
        <v>129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99" t="s">
        <v>130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99" t="s">
        <v>131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99" t="s">
        <v>132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99" t="s">
        <v>133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99" t="s">
        <v>134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99" t="s">
        <v>135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99" t="s">
        <v>136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99" t="s">
        <v>137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99" t="s">
        <v>138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99" t="s">
        <v>139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99" t="s">
        <v>140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99" t="s">
        <v>141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99" t="s">
        <v>142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02" t="s">
        <v>143</v>
      </c>
      <c r="C142" s="100">
        <f>SUBTOTAL(9,C135:C141)</f>
        <v>394456</v>
      </c>
      <c r="D142" s="101"/>
    </row>
    <row r="143" spans="2:4" x14ac:dyDescent="0.25">
      <c r="B143" s="102" t="s">
        <v>144</v>
      </c>
      <c r="C143" s="100">
        <f>SUBTOTAL(9,C11:C141)</f>
        <v>4115174.3</v>
      </c>
      <c r="D143" s="101"/>
    </row>
  </sheetData>
  <mergeCells count="1">
    <mergeCell ref="B8:D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B1:N125"/>
  <sheetViews>
    <sheetView showGridLines="0" topLeftCell="A5" workbookViewId="0">
      <selection activeCell="F11" sqref="F11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7" t="s">
        <v>124</v>
      </c>
    </row>
    <row r="4" spans="2:14" x14ac:dyDescent="0.25">
      <c r="F4" s="37" t="s">
        <v>103</v>
      </c>
    </row>
    <row r="6" spans="2:14" x14ac:dyDescent="0.25">
      <c r="N6" s="60"/>
    </row>
    <row r="7" spans="2:14" ht="15.75" thickBot="1" x14ac:dyDescent="0.3"/>
    <row r="8" spans="2:14" ht="16.5" thickBot="1" x14ac:dyDescent="0.3">
      <c r="B8" s="203" t="s">
        <v>106</v>
      </c>
      <c r="C8" s="204"/>
      <c r="D8" s="204"/>
      <c r="F8" s="203" t="s">
        <v>40</v>
      </c>
      <c r="G8" s="205"/>
    </row>
    <row r="9" spans="2:14" ht="8.25" customHeight="1" thickBot="1" x14ac:dyDescent="0.3">
      <c r="G9" s="14"/>
    </row>
    <row r="10" spans="2:14" ht="15.75" thickBot="1" x14ac:dyDescent="0.3">
      <c r="B10" s="68" t="s">
        <v>20</v>
      </c>
      <c r="C10" s="69" t="s">
        <v>21</v>
      </c>
      <c r="D10" s="68" t="s">
        <v>38</v>
      </c>
      <c r="F10" s="70" t="s">
        <v>20</v>
      </c>
      <c r="G10" s="71" t="s">
        <v>125</v>
      </c>
    </row>
    <row r="11" spans="2:14" x14ac:dyDescent="0.25">
      <c r="B11" s="16" t="s">
        <v>22</v>
      </c>
      <c r="C11" s="26">
        <v>34856</v>
      </c>
      <c r="D11" s="17">
        <v>565544</v>
      </c>
      <c r="F11" s="16" t="s">
        <v>22</v>
      </c>
      <c r="G11" s="30">
        <v>20371.400000000001</v>
      </c>
      <c r="H11" s="72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72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72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72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72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72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72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72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72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72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72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72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5" t="s">
        <v>39</v>
      </c>
      <c r="G24" s="33">
        <v>46798.5</v>
      </c>
      <c r="H24" s="72"/>
    </row>
    <row r="25" spans="2:8" x14ac:dyDescent="0.25">
      <c r="B25" s="21" t="s">
        <v>24</v>
      </c>
      <c r="C25" s="27">
        <v>11741</v>
      </c>
      <c r="D25" s="18">
        <v>554112</v>
      </c>
      <c r="F25" s="35" t="s">
        <v>35</v>
      </c>
      <c r="G25" s="33">
        <v>32487.333333333332</v>
      </c>
      <c r="H25" s="72"/>
    </row>
    <row r="26" spans="2:8" x14ac:dyDescent="0.25">
      <c r="B26" s="21" t="s">
        <v>24</v>
      </c>
      <c r="C26" s="27">
        <v>22123</v>
      </c>
      <c r="D26" s="18">
        <v>185477</v>
      </c>
      <c r="F26" s="35" t="s">
        <v>36</v>
      </c>
      <c r="G26" s="33">
        <v>46666.25</v>
      </c>
      <c r="H26" s="72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6" t="s">
        <v>37</v>
      </c>
      <c r="G27" s="34">
        <v>56350.857142857145</v>
      </c>
      <c r="H27" s="72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/>
  <dimension ref="A1:D19"/>
  <sheetViews>
    <sheetView showGridLines="0" workbookViewId="0">
      <selection activeCell="E18" sqref="E18"/>
    </sheetView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03" t="s">
        <v>102</v>
      </c>
      <c r="B1" t="s">
        <v>145</v>
      </c>
    </row>
    <row r="3" spans="1:4" x14ac:dyDescent="0.25">
      <c r="A3" s="11"/>
      <c r="B3" s="104" t="s">
        <v>21</v>
      </c>
      <c r="C3" s="11"/>
      <c r="D3" s="11"/>
    </row>
    <row r="4" spans="1:4" x14ac:dyDescent="0.25">
      <c r="A4" s="104" t="s">
        <v>101</v>
      </c>
      <c r="B4" s="11" t="s">
        <v>146</v>
      </c>
      <c r="C4" s="11" t="s">
        <v>147</v>
      </c>
      <c r="D4" s="11" t="s">
        <v>148</v>
      </c>
    </row>
    <row r="5" spans="1:4" x14ac:dyDescent="0.25">
      <c r="A5" s="11" t="s">
        <v>47</v>
      </c>
      <c r="B5" s="105">
        <v>2456</v>
      </c>
      <c r="C5" s="105">
        <v>5</v>
      </c>
      <c r="D5" s="105">
        <v>667</v>
      </c>
    </row>
    <row r="6" spans="1:4" x14ac:dyDescent="0.25">
      <c r="A6" s="11" t="s">
        <v>60</v>
      </c>
      <c r="B6" s="105">
        <v>333</v>
      </c>
      <c r="C6" s="105">
        <v>223</v>
      </c>
      <c r="D6" s="105">
        <v>432</v>
      </c>
    </row>
    <row r="7" spans="1:4" x14ac:dyDescent="0.25">
      <c r="A7" s="11" t="s">
        <v>48</v>
      </c>
      <c r="B7" s="105">
        <v>322</v>
      </c>
      <c r="C7" s="105">
        <v>6</v>
      </c>
      <c r="D7" s="105">
        <v>4346</v>
      </c>
    </row>
    <row r="8" spans="1:4" x14ac:dyDescent="0.25">
      <c r="A8" s="11" t="s">
        <v>42</v>
      </c>
      <c r="B8" s="105">
        <v>3456</v>
      </c>
      <c r="C8" s="105">
        <v>121</v>
      </c>
      <c r="D8" s="105">
        <v>32</v>
      </c>
    </row>
    <row r="9" spans="1:4" x14ac:dyDescent="0.25">
      <c r="A9" s="11" t="s">
        <v>50</v>
      </c>
      <c r="B9" s="105">
        <v>456</v>
      </c>
      <c r="C9" s="105">
        <v>5534</v>
      </c>
      <c r="D9" s="105">
        <v>23432</v>
      </c>
    </row>
    <row r="10" spans="1:4" x14ac:dyDescent="0.25">
      <c r="A10" s="11" t="s">
        <v>61</v>
      </c>
      <c r="B10" s="105">
        <v>3235</v>
      </c>
      <c r="C10" s="105">
        <v>2</v>
      </c>
      <c r="D10" s="105">
        <v>32</v>
      </c>
    </row>
    <row r="11" spans="1:4" x14ac:dyDescent="0.25">
      <c r="A11" s="11" t="s">
        <v>44</v>
      </c>
      <c r="B11" s="105">
        <v>4332</v>
      </c>
      <c r="C11" s="105">
        <v>5</v>
      </c>
      <c r="D11" s="105">
        <v>453</v>
      </c>
    </row>
    <row r="12" spans="1:4" x14ac:dyDescent="0.25">
      <c r="A12" s="11" t="s">
        <v>43</v>
      </c>
      <c r="B12" s="105">
        <v>4656</v>
      </c>
      <c r="C12" s="105">
        <v>4</v>
      </c>
      <c r="D12" s="105">
        <v>1234</v>
      </c>
    </row>
    <row r="13" spans="1:4" x14ac:dyDescent="0.25">
      <c r="A13" s="11" t="s">
        <v>46</v>
      </c>
      <c r="B13" s="105">
        <v>234</v>
      </c>
      <c r="C13" s="105">
        <v>5</v>
      </c>
      <c r="D13" s="105">
        <v>543</v>
      </c>
    </row>
    <row r="14" spans="1:4" x14ac:dyDescent="0.25">
      <c r="A14" s="11" t="s">
        <v>45</v>
      </c>
      <c r="B14" s="105">
        <v>21</v>
      </c>
      <c r="C14" s="105">
        <v>54</v>
      </c>
      <c r="D14" s="105">
        <v>543</v>
      </c>
    </row>
    <row r="15" spans="1:4" x14ac:dyDescent="0.25">
      <c r="A15" s="11" t="s">
        <v>51</v>
      </c>
      <c r="B15" s="105">
        <v>1234</v>
      </c>
      <c r="C15" s="105">
        <v>5</v>
      </c>
      <c r="D15" s="105">
        <v>32</v>
      </c>
    </row>
    <row r="16" spans="1:4" x14ac:dyDescent="0.25">
      <c r="A16" s="11" t="s">
        <v>63</v>
      </c>
      <c r="B16" s="105">
        <v>455</v>
      </c>
      <c r="C16" s="105">
        <v>4</v>
      </c>
      <c r="D16" s="105">
        <v>24</v>
      </c>
    </row>
    <row r="17" spans="1:4" x14ac:dyDescent="0.25">
      <c r="A17" s="11" t="s">
        <v>52</v>
      </c>
      <c r="B17" s="105">
        <v>9876</v>
      </c>
      <c r="C17" s="105">
        <v>656</v>
      </c>
      <c r="D17" s="105">
        <v>32</v>
      </c>
    </row>
    <row r="18" spans="1:4" x14ac:dyDescent="0.25">
      <c r="A18" s="11" t="s">
        <v>64</v>
      </c>
      <c r="B18" s="105">
        <v>122</v>
      </c>
      <c r="C18" s="105">
        <v>78</v>
      </c>
      <c r="D18" s="105">
        <v>3322</v>
      </c>
    </row>
    <row r="19" spans="1:4" x14ac:dyDescent="0.25">
      <c r="A19" s="11" t="s">
        <v>144</v>
      </c>
      <c r="B19" s="105">
        <v>31188</v>
      </c>
      <c r="C19" s="105">
        <v>6702</v>
      </c>
      <c r="D19" s="105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zoomScale="145" zoomScaleNormal="145" workbookViewId="0">
      <selection activeCell="H11" activeCellId="2" sqref="B11:C22 F11:F22 H11:H22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5" t="s">
        <v>87</v>
      </c>
      <c r="H3" s="45"/>
      <c r="I3" s="45"/>
      <c r="J3" s="45"/>
    </row>
    <row r="4" spans="2:12" x14ac:dyDescent="0.25">
      <c r="C4" s="62"/>
      <c r="G4" s="55" t="s">
        <v>88</v>
      </c>
      <c r="H4" s="45"/>
      <c r="I4" s="45"/>
      <c r="J4" s="45"/>
    </row>
    <row r="5" spans="2:12" x14ac:dyDescent="0.25">
      <c r="G5" s="55" t="s">
        <v>89</v>
      </c>
      <c r="H5" s="45"/>
      <c r="I5" s="45"/>
      <c r="J5" s="45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206" t="s">
        <v>71</v>
      </c>
      <c r="C9" s="207"/>
      <c r="D9" s="44"/>
      <c r="E9" s="206" t="s">
        <v>90</v>
      </c>
      <c r="F9" s="207"/>
      <c r="G9" s="45"/>
      <c r="H9" s="63" t="s">
        <v>72</v>
      </c>
    </row>
    <row r="10" spans="2:12" x14ac:dyDescent="0.25">
      <c r="B10" s="88" t="s">
        <v>73</v>
      </c>
      <c r="C10" s="89" t="s">
        <v>74</v>
      </c>
      <c r="D10" s="46"/>
      <c r="E10" s="88" t="s">
        <v>73</v>
      </c>
      <c r="F10" s="89" t="s">
        <v>74</v>
      </c>
      <c r="G10" s="45"/>
      <c r="H10" s="90" t="s">
        <v>21</v>
      </c>
    </row>
    <row r="11" spans="2:12" x14ac:dyDescent="0.25">
      <c r="B11" s="47" t="s">
        <v>75</v>
      </c>
      <c r="C11" s="48">
        <v>45678</v>
      </c>
      <c r="D11" s="45"/>
      <c r="E11" s="47" t="s">
        <v>75</v>
      </c>
      <c r="F11" s="48">
        <v>49876</v>
      </c>
      <c r="G11" s="49"/>
      <c r="H11" s="50">
        <v>65000</v>
      </c>
    </row>
    <row r="12" spans="2:12" x14ac:dyDescent="0.25">
      <c r="B12" s="47" t="s">
        <v>76</v>
      </c>
      <c r="C12" s="51">
        <v>66534</v>
      </c>
      <c r="D12" s="45"/>
      <c r="E12" s="47" t="s">
        <v>76</v>
      </c>
      <c r="F12" s="51">
        <v>59043</v>
      </c>
      <c r="G12" s="49"/>
      <c r="H12" s="50">
        <v>45000</v>
      </c>
      <c r="L12" s="64"/>
    </row>
    <row r="13" spans="2:12" x14ac:dyDescent="0.25">
      <c r="B13" s="47" t="s">
        <v>77</v>
      </c>
      <c r="C13" s="51">
        <v>49876</v>
      </c>
      <c r="D13" s="45"/>
      <c r="E13" s="47" t="s">
        <v>77</v>
      </c>
      <c r="F13" s="51">
        <v>53456</v>
      </c>
      <c r="G13" s="49"/>
      <c r="H13" s="50">
        <v>40000</v>
      </c>
    </row>
    <row r="14" spans="2:12" x14ac:dyDescent="0.25">
      <c r="B14" s="47" t="s">
        <v>78</v>
      </c>
      <c r="C14" s="51">
        <v>25678</v>
      </c>
      <c r="D14" s="45"/>
      <c r="E14" s="47" t="s">
        <v>78</v>
      </c>
      <c r="F14" s="51">
        <v>34599</v>
      </c>
      <c r="G14" s="49"/>
      <c r="H14" s="50">
        <v>40000</v>
      </c>
    </row>
    <row r="15" spans="2:12" x14ac:dyDescent="0.25">
      <c r="B15" s="47" t="s">
        <v>79</v>
      </c>
      <c r="C15" s="51">
        <v>12253</v>
      </c>
      <c r="D15" s="45"/>
      <c r="E15" s="47" t="s">
        <v>79</v>
      </c>
      <c r="F15" s="51">
        <v>17234</v>
      </c>
      <c r="G15" s="45"/>
      <c r="H15" s="50">
        <v>30000</v>
      </c>
    </row>
    <row r="16" spans="2:12" x14ac:dyDescent="0.25">
      <c r="B16" s="47" t="s">
        <v>80</v>
      </c>
      <c r="C16" s="51">
        <v>19854</v>
      </c>
      <c r="D16" s="45"/>
      <c r="E16" s="47" t="s">
        <v>80</v>
      </c>
      <c r="F16" s="51">
        <v>28903</v>
      </c>
      <c r="G16" s="45"/>
      <c r="H16" s="50">
        <v>25000</v>
      </c>
    </row>
    <row r="17" spans="2:8" x14ac:dyDescent="0.25">
      <c r="B17" s="47" t="s">
        <v>81</v>
      </c>
      <c r="C17" s="51">
        <v>76543</v>
      </c>
      <c r="D17" s="45"/>
      <c r="E17" s="47" t="s">
        <v>81</v>
      </c>
      <c r="F17" s="51">
        <v>66321</v>
      </c>
      <c r="G17" s="45"/>
      <c r="H17" s="50">
        <v>60000</v>
      </c>
    </row>
    <row r="18" spans="2:8" x14ac:dyDescent="0.25">
      <c r="B18" s="47" t="s">
        <v>82</v>
      </c>
      <c r="C18" s="51">
        <v>45329</v>
      </c>
      <c r="D18" s="45"/>
      <c r="E18" s="47" t="s">
        <v>82</v>
      </c>
      <c r="F18" s="51">
        <v>43234</v>
      </c>
      <c r="G18" s="45"/>
      <c r="H18" s="50">
        <v>35000</v>
      </c>
    </row>
    <row r="19" spans="2:8" x14ac:dyDescent="0.25">
      <c r="B19" s="47" t="s">
        <v>83</v>
      </c>
      <c r="C19" s="51">
        <v>99876</v>
      </c>
      <c r="D19" s="45"/>
      <c r="E19" s="47" t="s">
        <v>83</v>
      </c>
      <c r="F19" s="51">
        <v>87654</v>
      </c>
      <c r="G19" s="45"/>
      <c r="H19" s="50">
        <v>80000</v>
      </c>
    </row>
    <row r="20" spans="2:8" x14ac:dyDescent="0.25">
      <c r="B20" s="47" t="s">
        <v>84</v>
      </c>
      <c r="C20" s="51">
        <v>66543</v>
      </c>
      <c r="D20" s="45"/>
      <c r="E20" s="47" t="s">
        <v>84</v>
      </c>
      <c r="F20" s="51">
        <v>74987</v>
      </c>
      <c r="G20" s="45"/>
      <c r="H20" s="50">
        <v>80000</v>
      </c>
    </row>
    <row r="21" spans="2:8" x14ac:dyDescent="0.25">
      <c r="B21" s="47" t="s">
        <v>85</v>
      </c>
      <c r="C21" s="51">
        <v>124345</v>
      </c>
      <c r="D21" s="45"/>
      <c r="E21" s="47" t="s">
        <v>85</v>
      </c>
      <c r="F21" s="51">
        <v>144567</v>
      </c>
      <c r="G21" s="45"/>
      <c r="H21" s="50">
        <v>150000</v>
      </c>
    </row>
    <row r="22" spans="2:8" ht="15.75" thickBot="1" x14ac:dyDescent="0.3">
      <c r="B22" s="52" t="s">
        <v>86</v>
      </c>
      <c r="C22" s="53">
        <v>189773</v>
      </c>
      <c r="D22" s="45"/>
      <c r="E22" s="52" t="s">
        <v>86</v>
      </c>
      <c r="F22" s="53">
        <v>175876</v>
      </c>
      <c r="G22" s="45"/>
      <c r="H22" s="54">
        <v>180000</v>
      </c>
    </row>
  </sheetData>
  <mergeCells count="2">
    <mergeCell ref="B9:C9"/>
    <mergeCell ref="E9:F9"/>
  </mergeCells>
  <phoneticPr fontId="26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workbookViewId="0">
      <selection activeCell="G12" sqref="G12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style="106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65" t="s">
        <v>41</v>
      </c>
      <c r="C8" s="66" t="s">
        <v>14</v>
      </c>
      <c r="D8" s="66" t="s">
        <v>17</v>
      </c>
      <c r="E8" s="67" t="s">
        <v>15</v>
      </c>
      <c r="G8" s="65" t="s">
        <v>121</v>
      </c>
      <c r="H8" s="66" t="s">
        <v>114</v>
      </c>
      <c r="I8" s="66" t="s">
        <v>115</v>
      </c>
      <c r="J8" s="67" t="s">
        <v>116</v>
      </c>
      <c r="K8" s="67" t="s">
        <v>117</v>
      </c>
      <c r="L8" s="67" t="s">
        <v>118</v>
      </c>
      <c r="M8" s="91" t="s">
        <v>120</v>
      </c>
      <c r="N8" s="91" t="s">
        <v>126</v>
      </c>
      <c r="O8" s="67" t="s">
        <v>119</v>
      </c>
      <c r="P8" s="91" t="s">
        <v>122</v>
      </c>
      <c r="Q8" s="91" t="s">
        <v>123</v>
      </c>
    </row>
    <row r="9" spans="2:17" ht="15.95" customHeight="1" x14ac:dyDescent="0.25">
      <c r="B9" s="38">
        <v>2000</v>
      </c>
      <c r="C9" s="39" t="s">
        <v>50</v>
      </c>
      <c r="D9" s="41">
        <v>65</v>
      </c>
      <c r="E9" s="12" t="s">
        <v>56</v>
      </c>
      <c r="G9" s="38">
        <v>1</v>
      </c>
      <c r="H9" s="107" t="s">
        <v>149</v>
      </c>
      <c r="I9" s="41" t="s">
        <v>150</v>
      </c>
      <c r="J9" s="12" t="s">
        <v>155</v>
      </c>
      <c r="K9" s="12" t="s">
        <v>156</v>
      </c>
      <c r="L9" s="12" t="s">
        <v>157</v>
      </c>
      <c r="M9" s="92" t="s">
        <v>158</v>
      </c>
      <c r="N9" s="92" t="s">
        <v>159</v>
      </c>
      <c r="O9" s="95">
        <v>899</v>
      </c>
      <c r="P9" s="93">
        <v>44438</v>
      </c>
      <c r="Q9" s="94">
        <v>0.75059027777777787</v>
      </c>
    </row>
    <row r="10" spans="2:17" ht="15.95" customHeight="1" x14ac:dyDescent="0.25">
      <c r="B10" s="38">
        <v>2001</v>
      </c>
      <c r="C10" s="39" t="s">
        <v>60</v>
      </c>
      <c r="D10" s="41">
        <v>399</v>
      </c>
      <c r="E10" s="12" t="s">
        <v>56</v>
      </c>
      <c r="G10" s="38">
        <v>2</v>
      </c>
      <c r="H10" s="107" t="s">
        <v>152</v>
      </c>
      <c r="I10" s="41" t="s">
        <v>160</v>
      </c>
      <c r="J10" s="12" t="s">
        <v>167</v>
      </c>
      <c r="K10" s="12" t="s">
        <v>153</v>
      </c>
      <c r="L10" s="12" t="s">
        <v>161</v>
      </c>
      <c r="M10" s="12" t="s">
        <v>158</v>
      </c>
      <c r="N10" s="12" t="s">
        <v>154</v>
      </c>
      <c r="O10" s="95">
        <v>550</v>
      </c>
      <c r="P10" s="93">
        <v>44438</v>
      </c>
      <c r="Q10" s="94">
        <v>0.75260416666666663</v>
      </c>
    </row>
    <row r="11" spans="2:17" ht="15.95" customHeight="1" x14ac:dyDescent="0.25">
      <c r="B11" s="38">
        <v>2002</v>
      </c>
      <c r="C11" s="39" t="s">
        <v>61</v>
      </c>
      <c r="D11" s="41">
        <v>1890</v>
      </c>
      <c r="E11" s="12" t="s">
        <v>56</v>
      </c>
      <c r="G11" s="38">
        <v>3</v>
      </c>
      <c r="H11" s="107" t="s">
        <v>162</v>
      </c>
      <c r="I11" s="41" t="s">
        <v>163</v>
      </c>
      <c r="J11" s="12" t="s">
        <v>164</v>
      </c>
      <c r="K11" s="12" t="s">
        <v>165</v>
      </c>
      <c r="L11" s="12" t="s">
        <v>151</v>
      </c>
      <c r="M11" s="12" t="s">
        <v>158</v>
      </c>
      <c r="N11" s="12" t="s">
        <v>166</v>
      </c>
      <c r="O11" s="95">
        <v>190</v>
      </c>
      <c r="P11" s="93">
        <v>44438</v>
      </c>
      <c r="Q11" s="94">
        <v>0.75121527777777775</v>
      </c>
    </row>
    <row r="12" spans="2:17" ht="15.95" customHeight="1" x14ac:dyDescent="0.25">
      <c r="B12" s="38">
        <v>2003</v>
      </c>
      <c r="C12" s="39" t="s">
        <v>42</v>
      </c>
      <c r="D12" s="41">
        <v>550</v>
      </c>
      <c r="E12" s="12" t="s">
        <v>56</v>
      </c>
      <c r="G12" s="38">
        <v>4</v>
      </c>
      <c r="H12" s="107" t="s">
        <v>175</v>
      </c>
      <c r="I12" s="41" t="s">
        <v>176</v>
      </c>
      <c r="J12" s="12" t="s">
        <v>177</v>
      </c>
      <c r="K12" s="12" t="s">
        <v>153</v>
      </c>
      <c r="L12" s="12" t="s">
        <v>161</v>
      </c>
      <c r="M12" s="12" t="s">
        <v>158</v>
      </c>
      <c r="N12" s="12" t="s">
        <v>154</v>
      </c>
      <c r="O12" s="95">
        <v>550</v>
      </c>
      <c r="P12" s="93">
        <v>44452</v>
      </c>
      <c r="Q12" s="94">
        <v>0.65333333333333332</v>
      </c>
    </row>
    <row r="13" spans="2:17" ht="15.95" customHeight="1" x14ac:dyDescent="0.25">
      <c r="B13" s="38">
        <v>2004</v>
      </c>
      <c r="C13" s="11" t="s">
        <v>51</v>
      </c>
      <c r="D13" s="41">
        <v>1499</v>
      </c>
      <c r="E13" s="12" t="s">
        <v>57</v>
      </c>
      <c r="G13" s="38"/>
      <c r="H13" s="108"/>
      <c r="I13" s="41"/>
      <c r="J13" s="12"/>
      <c r="K13" s="12"/>
      <c r="L13" s="12"/>
      <c r="M13" s="12"/>
      <c r="N13" s="12"/>
      <c r="O13" s="95"/>
      <c r="P13" s="93"/>
      <c r="Q13" s="94"/>
    </row>
    <row r="14" spans="2:17" ht="15.95" customHeight="1" x14ac:dyDescent="0.25">
      <c r="B14" s="38">
        <v>2005</v>
      </c>
      <c r="C14" s="39" t="s">
        <v>52</v>
      </c>
      <c r="D14" s="41">
        <v>125</v>
      </c>
      <c r="E14" s="12" t="s">
        <v>57</v>
      </c>
      <c r="G14" s="38"/>
      <c r="H14" s="107"/>
      <c r="I14" s="41"/>
      <c r="J14" s="12"/>
      <c r="K14" s="12"/>
      <c r="L14" s="12"/>
      <c r="M14" s="12"/>
      <c r="N14" s="12"/>
      <c r="O14" s="95"/>
      <c r="P14" s="93"/>
      <c r="Q14" s="94"/>
    </row>
    <row r="15" spans="2:17" ht="15.95" customHeight="1" x14ac:dyDescent="0.25">
      <c r="B15" s="38">
        <v>2006</v>
      </c>
      <c r="C15" s="39" t="s">
        <v>43</v>
      </c>
      <c r="D15" s="41">
        <v>29</v>
      </c>
      <c r="E15" s="12" t="s">
        <v>56</v>
      </c>
      <c r="G15" s="38"/>
      <c r="H15" s="107"/>
      <c r="I15" s="41"/>
      <c r="J15" s="12"/>
      <c r="K15" s="12"/>
      <c r="L15" s="12"/>
      <c r="M15" s="12"/>
      <c r="N15" s="12"/>
      <c r="O15" s="95"/>
      <c r="P15" s="93"/>
      <c r="Q15" s="94"/>
    </row>
    <row r="16" spans="2:17" ht="15.95" customHeight="1" x14ac:dyDescent="0.25">
      <c r="B16" s="38">
        <v>2007</v>
      </c>
      <c r="C16" s="39" t="s">
        <v>44</v>
      </c>
      <c r="D16" s="41">
        <v>3120</v>
      </c>
      <c r="E16" s="12" t="s">
        <v>56</v>
      </c>
      <c r="G16" s="38"/>
      <c r="H16" s="107"/>
      <c r="I16" s="41"/>
      <c r="J16" s="12"/>
      <c r="K16" s="12"/>
      <c r="L16" s="12"/>
      <c r="M16" s="12"/>
      <c r="N16" s="12"/>
      <c r="O16" s="95"/>
      <c r="P16" s="12"/>
      <c r="Q16" s="12"/>
    </row>
    <row r="17" spans="2:17" ht="15.95" customHeight="1" x14ac:dyDescent="0.25">
      <c r="B17" s="38">
        <v>2008</v>
      </c>
      <c r="C17" s="39" t="s">
        <v>63</v>
      </c>
      <c r="D17" s="41">
        <v>145</v>
      </c>
      <c r="E17" s="12" t="s">
        <v>56</v>
      </c>
      <c r="G17" s="38"/>
      <c r="H17" s="107"/>
      <c r="I17" s="41"/>
      <c r="J17" s="12"/>
      <c r="K17" s="12"/>
      <c r="L17" s="12"/>
      <c r="M17" s="12"/>
      <c r="N17" s="12"/>
      <c r="O17" s="95"/>
      <c r="P17" s="12"/>
      <c r="Q17" s="12"/>
    </row>
    <row r="18" spans="2:17" ht="15.95" customHeight="1" x14ac:dyDescent="0.25">
      <c r="B18" s="38">
        <v>2009</v>
      </c>
      <c r="C18" s="39" t="s">
        <v>45</v>
      </c>
      <c r="D18" s="41">
        <v>120</v>
      </c>
      <c r="E18" s="12" t="s">
        <v>56</v>
      </c>
      <c r="G18" s="38"/>
      <c r="H18" s="107"/>
      <c r="I18" s="41"/>
      <c r="J18" s="12"/>
      <c r="K18" s="12"/>
      <c r="L18" s="12"/>
      <c r="M18" s="12"/>
      <c r="N18" s="12"/>
      <c r="O18" s="95"/>
      <c r="P18" s="12"/>
      <c r="Q18" s="12"/>
    </row>
    <row r="19" spans="2:17" ht="15.95" customHeight="1" x14ac:dyDescent="0.25">
      <c r="B19" s="38">
        <v>2010</v>
      </c>
      <c r="C19" s="39" t="s">
        <v>46</v>
      </c>
      <c r="D19" s="41">
        <v>98</v>
      </c>
      <c r="E19" s="12" t="s">
        <v>56</v>
      </c>
      <c r="G19" s="38"/>
      <c r="H19" s="107"/>
      <c r="I19" s="41"/>
      <c r="J19" s="12"/>
      <c r="K19" s="12"/>
      <c r="L19" s="12"/>
      <c r="M19" s="12"/>
      <c r="N19" s="12"/>
      <c r="O19" s="95"/>
      <c r="P19" s="12"/>
      <c r="Q19" s="12"/>
    </row>
    <row r="20" spans="2:17" ht="15.95" customHeight="1" x14ac:dyDescent="0.25">
      <c r="B20" s="38">
        <v>2011</v>
      </c>
      <c r="C20" s="39" t="s">
        <v>47</v>
      </c>
      <c r="D20" s="41">
        <v>35</v>
      </c>
      <c r="E20" s="12" t="s">
        <v>56</v>
      </c>
      <c r="G20" s="38"/>
      <c r="H20" s="107"/>
      <c r="I20" s="41"/>
      <c r="J20" s="12"/>
      <c r="K20" s="12"/>
      <c r="L20" s="12"/>
      <c r="M20" s="12"/>
      <c r="N20" s="12"/>
      <c r="O20" s="95"/>
      <c r="P20" s="12"/>
      <c r="Q20" s="12"/>
    </row>
    <row r="21" spans="2:17" ht="15.95" customHeight="1" x14ac:dyDescent="0.25">
      <c r="B21" s="38">
        <v>2012</v>
      </c>
      <c r="C21" s="39" t="s">
        <v>48</v>
      </c>
      <c r="D21" s="41">
        <v>235</v>
      </c>
      <c r="E21" s="12" t="s">
        <v>58</v>
      </c>
      <c r="G21" s="38"/>
      <c r="H21" s="107"/>
      <c r="I21" s="41"/>
      <c r="J21" s="12"/>
      <c r="K21" s="12"/>
      <c r="L21" s="12"/>
      <c r="M21" s="12"/>
      <c r="N21" s="12"/>
      <c r="O21" s="95"/>
      <c r="P21" s="12"/>
      <c r="Q21" s="12"/>
    </row>
    <row r="22" spans="2:17" ht="15.95" customHeight="1" x14ac:dyDescent="0.25">
      <c r="B22" s="38">
        <v>2013</v>
      </c>
      <c r="C22" t="s">
        <v>64</v>
      </c>
      <c r="D22" s="41">
        <v>12</v>
      </c>
      <c r="E22" s="12" t="s">
        <v>57</v>
      </c>
      <c r="G22" s="38"/>
      <c r="I22" s="41"/>
      <c r="J22" s="12"/>
      <c r="K22" s="12"/>
      <c r="L22" s="12"/>
      <c r="M22" s="12"/>
      <c r="N22" s="12"/>
      <c r="O22" s="95"/>
      <c r="P22" s="12"/>
      <c r="Q22" s="12"/>
    </row>
    <row r="23" spans="2:17" ht="15.95" customHeight="1" x14ac:dyDescent="0.25">
      <c r="B23" s="38">
        <v>2014</v>
      </c>
      <c r="C23" s="39" t="s">
        <v>54</v>
      </c>
      <c r="D23" s="41">
        <v>3190</v>
      </c>
      <c r="E23" s="12" t="s">
        <v>58</v>
      </c>
      <c r="G23" s="38"/>
      <c r="H23" s="107"/>
      <c r="I23" s="41"/>
      <c r="J23" s="12"/>
      <c r="K23" s="12"/>
      <c r="L23" s="12"/>
      <c r="M23" s="12"/>
      <c r="N23" s="12"/>
      <c r="O23" s="95"/>
      <c r="P23" s="12"/>
      <c r="Q23" s="12"/>
    </row>
    <row r="24" spans="2:17" ht="15.95" customHeight="1" x14ac:dyDescent="0.25">
      <c r="B24" s="38">
        <v>2015</v>
      </c>
      <c r="C24" s="11" t="s">
        <v>59</v>
      </c>
      <c r="D24" s="41">
        <v>632</v>
      </c>
      <c r="E24" s="12" t="s">
        <v>58</v>
      </c>
      <c r="G24" s="38"/>
      <c r="H24" s="108"/>
      <c r="I24" s="41"/>
      <c r="J24" s="12"/>
      <c r="K24" s="12"/>
      <c r="L24" s="12"/>
      <c r="M24" s="12"/>
      <c r="N24" s="12"/>
      <c r="O24" s="95"/>
      <c r="P24" s="12"/>
      <c r="Q24" s="12"/>
    </row>
    <row r="25" spans="2:17" ht="15.95" customHeight="1" x14ac:dyDescent="0.25">
      <c r="B25" s="38">
        <v>2016</v>
      </c>
      <c r="C25" s="39" t="s">
        <v>55</v>
      </c>
      <c r="D25" s="41">
        <v>587</v>
      </c>
      <c r="E25" s="12" t="s">
        <v>58</v>
      </c>
      <c r="G25" s="38"/>
      <c r="H25" s="107"/>
      <c r="I25" s="41"/>
      <c r="J25" s="12"/>
      <c r="K25" s="12"/>
      <c r="L25" s="12"/>
      <c r="M25" s="12"/>
      <c r="N25" s="12"/>
      <c r="O25" s="95"/>
      <c r="P25" s="12"/>
      <c r="Q25" s="12"/>
    </row>
    <row r="26" spans="2:17" ht="15.95" customHeight="1" x14ac:dyDescent="0.25">
      <c r="B26" s="38">
        <v>2017</v>
      </c>
      <c r="C26" s="39" t="s">
        <v>53</v>
      </c>
      <c r="D26" s="41">
        <v>899</v>
      </c>
      <c r="E26" s="12" t="s">
        <v>57</v>
      </c>
      <c r="G26" s="38"/>
      <c r="H26" s="107"/>
      <c r="I26" s="41"/>
      <c r="J26" s="12"/>
      <c r="K26" s="12"/>
      <c r="L26" s="12"/>
      <c r="M26" s="12"/>
      <c r="N26" s="12"/>
      <c r="O26" s="95"/>
      <c r="P26" s="12"/>
      <c r="Q26" s="12"/>
    </row>
    <row r="27" spans="2:17" ht="15.95" customHeight="1" x14ac:dyDescent="0.25">
      <c r="B27" s="38">
        <v>2018</v>
      </c>
      <c r="C27" s="39" t="s">
        <v>62</v>
      </c>
      <c r="D27" s="41">
        <v>190</v>
      </c>
      <c r="E27" s="12" t="s">
        <v>58</v>
      </c>
      <c r="G27" s="38"/>
      <c r="H27" s="107"/>
      <c r="I27" s="41"/>
      <c r="J27" s="12"/>
      <c r="K27" s="12"/>
      <c r="L27" s="12"/>
      <c r="M27" s="12"/>
      <c r="N27" s="12"/>
      <c r="O27" s="95"/>
      <c r="P27" s="12"/>
      <c r="Q27" s="12"/>
    </row>
    <row r="28" spans="2:17" ht="15.95" customHeight="1" x14ac:dyDescent="0.25">
      <c r="B28" s="38">
        <v>2019</v>
      </c>
      <c r="C28" s="39" t="s">
        <v>49</v>
      </c>
      <c r="D28" s="41">
        <v>115</v>
      </c>
      <c r="E28" s="12" t="s">
        <v>56</v>
      </c>
      <c r="G28" s="38"/>
      <c r="H28" s="107"/>
      <c r="I28" s="41"/>
      <c r="J28" s="12"/>
      <c r="K28" s="12"/>
      <c r="L28" s="12"/>
      <c r="M28" s="12"/>
      <c r="N28" s="12"/>
      <c r="O28" s="95"/>
      <c r="P28" s="12"/>
      <c r="Q28" s="12"/>
    </row>
    <row r="29" spans="2:17" ht="15.95" customHeight="1" x14ac:dyDescent="0.25">
      <c r="B29" s="38">
        <v>2020</v>
      </c>
      <c r="C29" s="11" t="s">
        <v>65</v>
      </c>
      <c r="D29" s="42">
        <v>15</v>
      </c>
      <c r="E29" s="12" t="s">
        <v>57</v>
      </c>
      <c r="G29" s="38"/>
      <c r="H29" s="108"/>
      <c r="I29" s="42"/>
      <c r="J29" s="12"/>
      <c r="K29" s="12"/>
      <c r="L29" s="12"/>
      <c r="M29" s="12"/>
      <c r="N29" s="12"/>
      <c r="O29" s="95"/>
      <c r="P29" s="12"/>
      <c r="Q29" s="12"/>
    </row>
    <row r="30" spans="2:17" ht="15.95" customHeight="1" x14ac:dyDescent="0.25">
      <c r="B30" s="38">
        <v>2021</v>
      </c>
      <c r="C30" s="11" t="s">
        <v>66</v>
      </c>
      <c r="D30" s="42">
        <v>10</v>
      </c>
      <c r="E30" s="12" t="s">
        <v>57</v>
      </c>
      <c r="G30" s="38"/>
      <c r="H30" s="108"/>
      <c r="I30" s="42"/>
      <c r="J30" s="12"/>
      <c r="K30" s="12"/>
      <c r="L30" s="12"/>
      <c r="M30" s="12"/>
      <c r="N30" s="12"/>
      <c r="O30" s="95"/>
      <c r="P30" s="12"/>
      <c r="Q30" s="12"/>
    </row>
    <row r="31" spans="2:17" ht="15.95" customHeight="1" x14ac:dyDescent="0.25">
      <c r="B31" s="38">
        <v>2022</v>
      </c>
      <c r="C31" t="s">
        <v>68</v>
      </c>
      <c r="D31" s="42">
        <v>3890</v>
      </c>
      <c r="E31" s="12" t="s">
        <v>58</v>
      </c>
      <c r="G31" s="38"/>
      <c r="I31" s="42"/>
      <c r="J31" s="12"/>
      <c r="K31" s="12"/>
      <c r="L31" s="12"/>
      <c r="M31" s="12"/>
      <c r="N31" s="12"/>
      <c r="O31" s="95"/>
      <c r="P31" s="12"/>
      <c r="Q31" s="12"/>
    </row>
    <row r="32" spans="2:17" ht="15.95" customHeight="1" x14ac:dyDescent="0.25">
      <c r="B32" s="38">
        <v>2023</v>
      </c>
      <c r="C32" s="11" t="s">
        <v>69</v>
      </c>
      <c r="D32" s="42">
        <v>180</v>
      </c>
      <c r="E32" s="12" t="s">
        <v>56</v>
      </c>
      <c r="G32" s="38"/>
      <c r="H32" s="108"/>
      <c r="I32" s="42"/>
      <c r="J32" s="12"/>
      <c r="K32" s="12"/>
      <c r="L32" s="12"/>
      <c r="M32" s="12"/>
      <c r="N32" s="12"/>
      <c r="O32" s="95"/>
      <c r="P32" s="12"/>
      <c r="Q32" s="12"/>
    </row>
    <row r="33" spans="2:17" ht="15.95" customHeight="1" x14ac:dyDescent="0.25">
      <c r="B33" s="38">
        <v>2024</v>
      </c>
      <c r="C33" s="11" t="s">
        <v>67</v>
      </c>
      <c r="D33" s="42">
        <v>660</v>
      </c>
      <c r="E33" s="12" t="s">
        <v>57</v>
      </c>
      <c r="G33" s="38"/>
      <c r="H33" s="108"/>
      <c r="I33" s="42"/>
      <c r="J33" s="12"/>
      <c r="K33" s="12"/>
      <c r="L33" s="12"/>
      <c r="M33" s="12"/>
      <c r="N33" s="12"/>
      <c r="O33" s="95"/>
      <c r="P33" s="12"/>
      <c r="Q33" s="12"/>
    </row>
    <row r="34" spans="2:17" ht="15.95" customHeight="1" thickBot="1" x14ac:dyDescent="0.3">
      <c r="B34" s="40">
        <v>2025</v>
      </c>
      <c r="C34" s="11" t="s">
        <v>70</v>
      </c>
      <c r="D34" s="43">
        <v>899</v>
      </c>
      <c r="E34" s="13" t="s">
        <v>58</v>
      </c>
      <c r="G34" s="40"/>
      <c r="H34" s="108"/>
      <c r="I34" s="43"/>
      <c r="J34" s="13"/>
      <c r="K34" s="13"/>
      <c r="L34" s="13"/>
      <c r="M34" s="13"/>
      <c r="N34" s="13"/>
      <c r="O34" s="96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B1DF04B0402094A9F8561E4BAE622D1" ma:contentTypeVersion="10" ma:contentTypeDescription="Crie um novo documento." ma:contentTypeScope="" ma:versionID="a6b0dc574c2fecc30a14d1fa4da4c9a7">
  <xsd:schema xmlns:xsd="http://www.w3.org/2001/XMLSchema" xmlns:xs="http://www.w3.org/2001/XMLSchema" xmlns:p="http://schemas.microsoft.com/office/2006/metadata/properties" xmlns:ns2="bf4eeed7-a82e-4957-a1d0-1788966e1673" xmlns:ns3="7ceaeffd-4897-4484-8032-511660308b8b" targetNamespace="http://schemas.microsoft.com/office/2006/metadata/properties" ma:root="true" ma:fieldsID="8d65e9756492c3c3f6d71352d3d60708" ns2:_="" ns3:_="">
    <xsd:import namespace="bf4eeed7-a82e-4957-a1d0-1788966e1673"/>
    <xsd:import namespace="7ceaeffd-4897-4484-8032-511660308b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4eeed7-a82e-4957-a1d0-1788966e16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eaeffd-4897-4484-8032-511660308b8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77097D-E59B-4BAF-B554-EE4337B79792}">
  <ds:schemaRefs>
    <ds:schemaRef ds:uri="http://purl.org/dc/elements/1.1/"/>
    <ds:schemaRef ds:uri="99d36e0a-1892-4c93-a6ed-997123411f56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34D6728-24CC-4F54-B707-38DD981C214F}"/>
</file>

<file path=customXml/itemProps3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HOME</vt:lpstr>
      <vt:lpstr>CONTAS LOGIN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Humberto</cp:lastModifiedBy>
  <dcterms:created xsi:type="dcterms:W3CDTF">2011-05-09T13:39:36Z</dcterms:created>
  <dcterms:modified xsi:type="dcterms:W3CDTF">2021-09-16T20:31:57Z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0x0101003B1DF04B0402094A9F8561E4BAE622D1</vt:lpwstr>
  </property>
</Properties>
</file>